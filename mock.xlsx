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EC6F8F9AFE16F5C/Documents/New Folder/"/>
    </mc:Choice>
  </mc:AlternateContent>
  <xr:revisionPtr revIDLastSave="131" documentId="8_{3708D5DE-4E7D-4B08-A4AB-0552AD11E9C1}" xr6:coauthVersionLast="47" xr6:coauthVersionMax="47" xr10:uidLastSave="{8336E364-6290-4EDB-921A-0F6696D5943E}"/>
  <bookViews>
    <workbookView xWindow="-108" yWindow="-108" windowWidth="23256" windowHeight="12456" activeTab="1" xr2:uid="{00000000-000D-0000-FFFF-FFFF00000000}"/>
  </bookViews>
  <sheets>
    <sheet name="Sales_Data" sheetId="1" r:id="rId1"/>
    <sheet name="Product_Master" sheetId="2" r:id="rId2"/>
    <sheet name="Monthly Target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H3" i="1"/>
  <c r="H4" i="1"/>
  <c r="H5" i="1"/>
  <c r="H6" i="1"/>
  <c r="H7" i="1"/>
  <c r="H8" i="1"/>
  <c r="H9" i="1"/>
  <c r="H10" i="1"/>
  <c r="H11" i="1"/>
  <c r="H2" i="1"/>
  <c r="E4" i="3"/>
  <c r="D4" i="3"/>
  <c r="C4" i="3"/>
  <c r="I3" i="1"/>
  <c r="I4" i="1"/>
  <c r="I5" i="1"/>
  <c r="I6" i="1"/>
  <c r="I7" i="1"/>
  <c r="I8" i="1"/>
  <c r="I9" i="1"/>
  <c r="I10" i="1"/>
  <c r="I11" i="1"/>
  <c r="I2" i="1"/>
  <c r="G7" i="1"/>
  <c r="G8" i="1"/>
  <c r="G9" i="1"/>
  <c r="G10" i="1"/>
  <c r="G11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<sst xmlns="http://schemas.openxmlformats.org/spreadsheetml/2006/main" count="94" uniqueCount="51">
  <si>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</si>
  <si>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</si>
  <si>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</si>
  <si>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</si>
  <si>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</si>
  <si>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</si>
  <si>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</si>
  <si>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</si>
  <si>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</si>
  <si>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</si>
  <si>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</si>
  <si>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</si>
  <si>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</si>
  <si>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</si>
  <si>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</si>
  <si>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</si>
  <si>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</si>
  <si>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</si>
  <si>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</si>
  <si>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</si>
  <si>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</si>
  <si>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</si>
  <si>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</si>
  <si>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</si>
  <si>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</si>
  <si>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</si>
  <si>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</si>
  <si>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</si>
  <si>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</si>
  <si>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</si>
  <si>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</si>
  <si>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</si>
  <si>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</si>
  <si>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</si>
  <si>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</si>
  <si>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</si>
  <si>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</si>
  <si>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</si>
  <si>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</si>
  <si>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</si>
  <si>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</si>
  <si>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</si>
  <si>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</si>
  <si>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</si>
  <si>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</si>
  <si>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</si>
  <si>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</si>
  <si>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Product_name</t>
  </si>
  <si>
    <t>Total_sales values</t>
  </si>
  <si>
    <t>price per unit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</si>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</sst>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workbookViewId="0">
      <selection activeCell="E17" sqref="E17"/>
    </sheetView>
  </sheetViews>
  <sheetFormatPr defaultColWidth="12.6640625" defaultRowHeight="15.75" customHeight="1" x14ac:dyDescent="0.25"/>
  <cols>
    <col min="9" max="9" width="16.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49</v>
      </c>
      <c r="I1" s="1" t="s">
        <v>48</v>
      </c>
    </row>
    <row r="2" spans="1:9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15</v>
      </c>
      <c r="F2" s="2">
        <v>45000</v>
      </c>
      <c r="G2" t="str">
        <f>VLOOKUP(B17,$B$16:$D$21,1,FALSE)</f>
        <v>Laptop</v>
      </c>
      <c r="H2">
        <f>VLOOKUP(A17,A16:D21,4,FALSE)</f>
        <v>3000</v>
      </c>
      <c r="I2">
        <f>E2*F2</f>
        <v>675000</v>
      </c>
    </row>
    <row r="3" spans="1:9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20</v>
      </c>
      <c r="F3" s="2">
        <v>60000</v>
      </c>
      <c r="G3" t="str">
        <f t="shared" ref="G3:G11" si="0">VLOOKUP(B18,$B$16:$D$21,1,FALSE)</f>
        <v>Smartphone</v>
      </c>
      <c r="H3">
        <f t="shared" ref="H3:H11" si="1">VLOOKUP(A18,A17:D22,4,FALSE)</f>
        <v>3000</v>
      </c>
      <c r="I3">
        <f t="shared" ref="I3:I11" si="2">E3*F3</f>
        <v>1200000</v>
      </c>
    </row>
    <row r="4" spans="1:9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10</v>
      </c>
      <c r="F4" s="2">
        <v>35000</v>
      </c>
      <c r="G4" t="str">
        <f t="shared" si="0"/>
        <v>Headphones</v>
      </c>
      <c r="H4">
        <f t="shared" si="1"/>
        <v>3500</v>
      </c>
      <c r="I4">
        <f t="shared" si="2"/>
        <v>350000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25</v>
      </c>
      <c r="F5" s="2">
        <v>125000</v>
      </c>
      <c r="G5" t="str">
        <f t="shared" si="0"/>
        <v>Printer</v>
      </c>
      <c r="H5">
        <f t="shared" si="1"/>
        <v>5000</v>
      </c>
      <c r="I5">
        <f t="shared" si="2"/>
        <v>3125000</v>
      </c>
    </row>
    <row r="6" spans="1:9" x14ac:dyDescent="0.25">
      <c r="A6" s="2" t="s">
        <v>22</v>
      </c>
      <c r="B6" s="2" t="s">
        <v>23</v>
      </c>
      <c r="C6" s="2" t="s">
        <v>8</v>
      </c>
      <c r="D6" s="2" t="s">
        <v>24</v>
      </c>
      <c r="E6" s="2">
        <v>12</v>
      </c>
      <c r="F6" s="2">
        <v>48000</v>
      </c>
      <c r="G6" t="str">
        <f t="shared" si="0"/>
        <v>Monitor</v>
      </c>
      <c r="H6">
        <f t="shared" si="1"/>
        <v>4000</v>
      </c>
      <c r="I6">
        <f t="shared" si="2"/>
        <v>576000</v>
      </c>
    </row>
    <row r="7" spans="1:9" x14ac:dyDescent="0.25">
      <c r="A7" s="2" t="s">
        <v>25</v>
      </c>
      <c r="B7" s="2" t="s">
        <v>26</v>
      </c>
      <c r="C7" s="2" t="s">
        <v>16</v>
      </c>
      <c r="D7" s="2" t="s">
        <v>13</v>
      </c>
      <c r="E7" s="2">
        <v>18</v>
      </c>
      <c r="F7" s="2">
        <v>54000</v>
      </c>
      <c r="G7" t="e">
        <f>VLOOKUP(B22,$B$16:$D$21,1,FALSE)</f>
        <v>#N/A</v>
      </c>
      <c r="H7" t="e">
        <f t="shared" si="1"/>
        <v>#N/A</v>
      </c>
      <c r="I7">
        <f t="shared" si="2"/>
        <v>972000</v>
      </c>
    </row>
    <row r="8" spans="1:9" x14ac:dyDescent="0.25">
      <c r="A8" s="2" t="s">
        <v>27</v>
      </c>
      <c r="B8" s="2" t="s">
        <v>28</v>
      </c>
      <c r="C8" s="2" t="s">
        <v>12</v>
      </c>
      <c r="D8" s="2" t="s">
        <v>17</v>
      </c>
      <c r="E8" s="2">
        <v>22</v>
      </c>
      <c r="F8" s="2">
        <v>77000</v>
      </c>
      <c r="G8" t="e">
        <f t="shared" si="0"/>
        <v>#N/A</v>
      </c>
      <c r="H8" t="e">
        <f t="shared" si="1"/>
        <v>#N/A</v>
      </c>
      <c r="I8">
        <f t="shared" si="2"/>
        <v>1694000</v>
      </c>
    </row>
    <row r="9" spans="1:9" x14ac:dyDescent="0.25">
      <c r="A9" s="2" t="s">
        <v>29</v>
      </c>
      <c r="B9" s="2" t="s">
        <v>30</v>
      </c>
      <c r="C9" s="2" t="s">
        <v>20</v>
      </c>
      <c r="D9" s="2" t="s">
        <v>9</v>
      </c>
      <c r="E9" s="2">
        <v>30</v>
      </c>
      <c r="F9" s="2">
        <v>90000</v>
      </c>
      <c r="G9" t="e">
        <f t="shared" si="0"/>
        <v>#N/A</v>
      </c>
      <c r="H9" t="e">
        <f t="shared" si="1"/>
        <v>#N/A</v>
      </c>
      <c r="I9">
        <f t="shared" si="2"/>
        <v>2700000</v>
      </c>
    </row>
    <row r="10" spans="1:9" x14ac:dyDescent="0.25">
      <c r="A10" s="2" t="s">
        <v>31</v>
      </c>
      <c r="B10" s="2" t="s">
        <v>32</v>
      </c>
      <c r="C10" s="2" t="s">
        <v>8</v>
      </c>
      <c r="D10" s="2" t="s">
        <v>21</v>
      </c>
      <c r="E10" s="2">
        <v>14</v>
      </c>
      <c r="F10" s="2">
        <v>70000</v>
      </c>
      <c r="G10" t="e">
        <f t="shared" si="0"/>
        <v>#N/A</v>
      </c>
      <c r="H10" t="e">
        <f t="shared" si="1"/>
        <v>#N/A</v>
      </c>
      <c r="I10">
        <f t="shared" si="2"/>
        <v>980000</v>
      </c>
    </row>
    <row r="11" spans="1:9" x14ac:dyDescent="0.25">
      <c r="A11" s="2" t="s">
        <v>33</v>
      </c>
      <c r="B11" s="2" t="s">
        <v>34</v>
      </c>
      <c r="C11" s="2" t="s">
        <v>16</v>
      </c>
      <c r="D11" s="2" t="s">
        <v>24</v>
      </c>
      <c r="E11" s="2">
        <v>8</v>
      </c>
      <c r="F11" s="2">
        <v>32000</v>
      </c>
      <c r="G11" t="e">
        <f t="shared" si="0"/>
        <v>#N/A</v>
      </c>
      <c r="H11" t="e">
        <f t="shared" si="1"/>
        <v>#N/A</v>
      </c>
      <c r="I11">
        <f t="shared" si="2"/>
        <v>256000</v>
      </c>
    </row>
    <row r="16" spans="1:9" ht="15.75" customHeight="1" x14ac:dyDescent="0.25">
      <c r="A16" s="1" t="s">
        <v>3</v>
      </c>
      <c r="B16" s="1" t="s">
        <v>35</v>
      </c>
      <c r="C16" s="1" t="s">
        <v>36</v>
      </c>
      <c r="D16" s="1" t="s">
        <v>37</v>
      </c>
    </row>
    <row r="17" spans="1:4" ht="15.75" customHeight="1" x14ac:dyDescent="0.25">
      <c r="A17" s="2" t="s">
        <v>9</v>
      </c>
      <c r="B17" s="3" t="s">
        <v>38</v>
      </c>
      <c r="C17" s="2" t="s">
        <v>39</v>
      </c>
      <c r="D17" s="2">
        <v>3000</v>
      </c>
    </row>
    <row r="18" spans="1:4" ht="15.75" customHeight="1" x14ac:dyDescent="0.25">
      <c r="A18" s="2" t="s">
        <v>13</v>
      </c>
      <c r="B18" s="2" t="s">
        <v>40</v>
      </c>
      <c r="C18" s="2" t="s">
        <v>39</v>
      </c>
      <c r="D18" s="2">
        <v>3000</v>
      </c>
    </row>
    <row r="19" spans="1:4" ht="15.75" customHeight="1" x14ac:dyDescent="0.25">
      <c r="A19" s="2" t="s">
        <v>17</v>
      </c>
      <c r="B19" s="2" t="s">
        <v>41</v>
      </c>
      <c r="C19" s="2" t="s">
        <v>42</v>
      </c>
      <c r="D19" s="2">
        <v>3500</v>
      </c>
    </row>
    <row r="20" spans="1:4" ht="15.75" customHeight="1" x14ac:dyDescent="0.25">
      <c r="A20" s="2" t="s">
        <v>21</v>
      </c>
      <c r="B20" s="2" t="s">
        <v>43</v>
      </c>
      <c r="C20" s="2" t="s">
        <v>44</v>
      </c>
      <c r="D20" s="2">
        <v>5000</v>
      </c>
    </row>
    <row r="21" spans="1:4" ht="15.75" customHeight="1" x14ac:dyDescent="0.25">
      <c r="A21" s="2" t="s">
        <v>24</v>
      </c>
      <c r="B21" s="2" t="s">
        <v>45</v>
      </c>
      <c r="C21" s="2" t="s">
        <v>39</v>
      </c>
      <c r="D21" s="2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4"/>
  <sheetViews>
    <sheetView tabSelected="1" workbookViewId="0">
      <selection activeCell="G2" sqref="G2"/>
    </sheetView>
  </sheetViews>
  <sheetFormatPr defaultColWidth="12.6640625" defaultRowHeight="15.75" customHeight="1" x14ac:dyDescent="0.25"/>
  <sheetData>
    <row r="1" spans="1:7" ht="13.2" x14ac:dyDescent="0.25">
      <c r="A1" s="1" t="s">
        <v>3</v>
      </c>
      <c r="B1" s="1" t="s">
        <v>35</v>
      </c>
      <c r="C1" s="1" t="s">
        <v>36</v>
      </c>
      <c r="D1" s="1" t="s">
        <v>37</v>
      </c>
    </row>
    <row r="2" spans="1:7" ht="13.2" x14ac:dyDescent="0.25">
      <c r="A2" s="2" t="s">
        <v>9</v>
      </c>
      <c r="B2" s="3" t="s">
        <v>38</v>
      </c>
      <c r="C2" s="2" t="s">
        <v>39</v>
      </c>
      <c r="D2" s="2">
        <v>3000</v>
      </c>
      <c r="F2" s="4"/>
      <c r="G2" s="1"/>
    </row>
    <row r="3" spans="1:7" ht="13.2" x14ac:dyDescent="0.25">
      <c r="A3" s="2" t="s">
        <v>13</v>
      </c>
      <c r="B3" s="2" t="s">
        <v>40</v>
      </c>
      <c r="C3" s="2" t="s">
        <v>39</v>
      </c>
      <c r="D3" s="2">
        <v>3000</v>
      </c>
      <c r="F3" s="4"/>
      <c r="G3" s="1"/>
    </row>
    <row r="4" spans="1:7" ht="13.2" x14ac:dyDescent="0.25">
      <c r="A4" s="2" t="s">
        <v>17</v>
      </c>
      <c r="B4" s="2" t="s">
        <v>41</v>
      </c>
      <c r="C4" s="2" t="s">
        <v>42</v>
      </c>
      <c r="D4" s="2">
        <v>3500</v>
      </c>
      <c r="F4" s="4"/>
      <c r="G4" s="1"/>
    </row>
    <row r="5" spans="1:7" ht="13.2" x14ac:dyDescent="0.25">
      <c r="A5" s="2" t="s">
        <v>21</v>
      </c>
      <c r="B5" s="2" t="s">
        <v>43</v>
      </c>
      <c r="C5" s="2" t="s">
        <v>44</v>
      </c>
      <c r="D5" s="2">
        <v>5000</v>
      </c>
      <c r="F5" s="4"/>
      <c r="G5" s="1"/>
    </row>
    <row r="6" spans="1:7" ht="13.2" x14ac:dyDescent="0.25">
      <c r="A6" s="2" t="s">
        <v>24</v>
      </c>
      <c r="B6" s="2" t="s">
        <v>45</v>
      </c>
      <c r="C6" s="2" t="s">
        <v>39</v>
      </c>
      <c r="D6" s="2">
        <v>4000</v>
      </c>
      <c r="F6" s="4"/>
      <c r="G6" s="1"/>
    </row>
    <row r="7" spans="1:7" ht="15.75" customHeight="1" x14ac:dyDescent="0.25">
      <c r="F7" s="4"/>
      <c r="G7" s="1"/>
    </row>
    <row r="8" spans="1:7" ht="13.2" x14ac:dyDescent="0.25">
      <c r="C8" s="2"/>
    </row>
    <row r="9" spans="1:7" ht="15.75" customHeight="1" x14ac:dyDescent="0.25">
      <c r="A9" s="1"/>
      <c r="B9" s="1"/>
    </row>
    <row r="10" spans="1:7" ht="15.75" customHeight="1" x14ac:dyDescent="0.25">
      <c r="A10" s="2"/>
      <c r="B10" s="3"/>
    </row>
    <row r="11" spans="1:7" ht="15.75" customHeight="1" x14ac:dyDescent="0.25">
      <c r="A11" s="2"/>
      <c r="B11" s="2"/>
    </row>
    <row r="12" spans="1:7" ht="15.75" customHeight="1" x14ac:dyDescent="0.25">
      <c r="A12" s="2"/>
      <c r="B12" s="2"/>
    </row>
    <row r="13" spans="1:7" ht="15.75" customHeight="1" x14ac:dyDescent="0.25">
      <c r="A13" s="2"/>
      <c r="B13" s="2"/>
    </row>
    <row r="14" spans="1:7" ht="15.75" customHeight="1" x14ac:dyDescent="0.25">
      <c r="A14" s="2"/>
      <c r="B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"/>
  <sheetViews>
    <sheetView workbookViewId="0">
      <selection activeCell="B6" sqref="B6"/>
    </sheetView>
  </sheetViews>
  <sheetFormatPr defaultColWidth="12.6640625" defaultRowHeight="15.75" customHeight="1" x14ac:dyDescent="0.25"/>
  <sheetData>
    <row r="1" spans="1:5" x14ac:dyDescent="0.2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5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  <row r="4" spans="1:5" ht="15.75" customHeight="1" x14ac:dyDescent="0.25">
      <c r="A4" t="s">
        <v>50</v>
      </c>
      <c r="B4">
        <f>HLOOKUP("North",B1:E2,2,FALSE)</f>
        <v>150000</v>
      </c>
      <c r="C4">
        <f>HLOOKUP("South",B1:E2,2,FALSE)</f>
        <v>140000</v>
      </c>
      <c r="D4">
        <f>HLOOKUP("East",B1:E2,2,FALSE)</f>
        <v>120000</v>
      </c>
      <c r="E4">
        <f>HLOOKUP("West",B1:E2,2,FALSE)</f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Anushri Bhusate</dc:creator>
  <cp:lastModifiedBy>Anushri Bhusate</cp:lastModifiedBy>
  <dcterms:created xsi:type="dcterms:W3CDTF">2025-11-01T06:30:45Z</dcterms:created>
  <dcterms:modified xsi:type="dcterms:W3CDTF">2025-11-01T08:38:11Z</dcterms:modified>
</cp:coreProperties>
</file>